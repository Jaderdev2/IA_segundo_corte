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Task Universidad\Inteligencia Artificial\"/>
    </mc:Choice>
  </mc:AlternateContent>
  <xr:revisionPtr revIDLastSave="0" documentId="13_ncr:1_{2E533459-A985-49D4-8E8A-5B448575978D}" xr6:coauthVersionLast="47" xr6:coauthVersionMax="47" xr10:uidLastSave="{00000000-0000-0000-0000-000000000000}"/>
  <bookViews>
    <workbookView xWindow="-108" yWindow="-108" windowWidth="23256" windowHeight="12456" xr2:uid="{6AC00F56-730C-4FA1-B9AF-88A310ECB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6" i="1" l="1"/>
  <c r="O2" i="1"/>
  <c r="O4" i="1"/>
  <c r="O3" i="1"/>
  <c r="P3" i="1"/>
  <c r="R3" i="1" s="1"/>
  <c r="S3" i="1" s="1"/>
  <c r="P18" i="1"/>
  <c r="P17" i="1"/>
  <c r="P12" i="1"/>
  <c r="P13" i="1"/>
  <c r="P14" i="1"/>
  <c r="P15" i="1" s="1"/>
  <c r="P20" i="1"/>
  <c r="Q3" i="1" l="1"/>
  <c r="P2" i="1"/>
  <c r="Q2" i="1" s="1"/>
  <c r="O5" i="1" l="1"/>
  <c r="P4" i="1"/>
  <c r="Q4" i="1" s="1"/>
  <c r="R2" i="1"/>
  <c r="O6" i="1" l="1"/>
  <c r="P5" i="1"/>
  <c r="R5" i="1" s="1"/>
  <c r="S5" i="1" s="1"/>
  <c r="T2" i="1"/>
  <c r="T3" i="1"/>
  <c r="S2" i="1"/>
  <c r="R4" i="1"/>
  <c r="S4" i="1" s="1"/>
  <c r="U3" i="1" l="1"/>
  <c r="U4" i="1"/>
  <c r="U5" i="1"/>
  <c r="U2" i="1"/>
  <c r="Q5" i="1"/>
  <c r="O7" i="1"/>
  <c r="P6" i="1"/>
  <c r="R6" i="1" s="1"/>
  <c r="T4" i="1"/>
  <c r="T5" i="1"/>
  <c r="S6" i="1" l="1"/>
  <c r="T6" i="1"/>
  <c r="Q6" i="1"/>
  <c r="P7" i="1"/>
  <c r="R7" i="1"/>
  <c r="S7" i="1" s="1"/>
  <c r="Q7" i="1"/>
  <c r="O8" i="1"/>
  <c r="P8" i="1" l="1"/>
  <c r="Q8" i="1" s="1"/>
  <c r="R8" i="1"/>
  <c r="S8" i="1" s="1"/>
  <c r="U8" i="1" s="1"/>
  <c r="T7" i="1"/>
  <c r="U6" i="1"/>
  <c r="U7" i="1"/>
  <c r="R9" i="1" l="1"/>
  <c r="S9" i="1" s="1"/>
  <c r="T8" i="1"/>
</calcChain>
</file>

<file path=xl/sharedStrings.xml><?xml version="1.0" encoding="utf-8"?>
<sst xmlns="http://schemas.openxmlformats.org/spreadsheetml/2006/main" count="134" uniqueCount="34">
  <si>
    <t>ID</t>
  </si>
  <si>
    <t>País</t>
  </si>
  <si>
    <t>Estado Socioeconómico</t>
  </si>
  <si>
    <t>Apps Descargadas</t>
  </si>
  <si>
    <t>Tiempo en Celular (horas)</t>
  </si>
  <si>
    <t>Medio</t>
  </si>
  <si>
    <t>Colombia</t>
  </si>
  <si>
    <t>Bajo</t>
  </si>
  <si>
    <t>Argentina</t>
  </si>
  <si>
    <t>Alto</t>
  </si>
  <si>
    <t>México</t>
  </si>
  <si>
    <t>Chile</t>
  </si>
  <si>
    <t>Perú</t>
  </si>
  <si>
    <t>LÍMITE INFERIOR</t>
  </si>
  <si>
    <t>LÍMITE SUPERIOR</t>
  </si>
  <si>
    <t>PUNTO MEDIO (MARCA DE CLASES)</t>
  </si>
  <si>
    <t>FRECUENCIA ABSOLUTA</t>
  </si>
  <si>
    <t>FRECUENCIA RELATIVA</t>
  </si>
  <si>
    <t>FRECUENCIA ACOMULADA</t>
  </si>
  <si>
    <t>FRECUENCIA RELATIVA ACUMULADA</t>
  </si>
  <si>
    <t>DATO MINIMO</t>
  </si>
  <si>
    <t>DATO MAXIMO</t>
  </si>
  <si>
    <t>RANGO</t>
  </si>
  <si>
    <t>NÚMERO DE CLASE</t>
  </si>
  <si>
    <t xml:space="preserve">ALBITRARIAMENTE </t>
  </si>
  <si>
    <t>AMPLITUD DE CLASE</t>
  </si>
  <si>
    <t>TOTAL DE DATOS:</t>
  </si>
  <si>
    <t>REGLA DE STURGES</t>
  </si>
  <si>
    <t>NÚMERO DE CLASES</t>
  </si>
  <si>
    <t>AMPLITUD UTILIZADA</t>
  </si>
  <si>
    <t>Total</t>
  </si>
  <si>
    <t>FRECUENCIA ACUMULADA</t>
  </si>
  <si>
    <t>DATO MÍNIMO</t>
  </si>
  <si>
    <t>DATO MÁXIMO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</si>
</sst>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00FF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4" fillId="0" borderId="0" xfId="0" applyFont="1" applyAlignment="1">
      <alignment horizontal="left"/>
    </xf>
    <xf numFmtId="2" fontId="0" fillId="0" borderId="0" xfId="0" applyNumberFormat="1" applyAlignment="1">
      <alignment horizontal="left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8" fillId="0" borderId="0" xfId="0" applyFont="1"/>
    <xf numFmtId="0" fontId="0" fillId="0" borderId="1" xfId="0" applyFont="1" applyFill="1" applyBorder="1" applyAlignment="1">
      <alignment horizontal="center"/>
    </xf>
    <xf numFmtId="10" fontId="0" fillId="0" borderId="1" xfId="1" applyNumberFormat="1" applyFont="1" applyFill="1" applyBorder="1" applyAlignment="1">
      <alignment horizontal="center"/>
    </xf>
    <xf numFmtId="10" fontId="0" fillId="0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10" fontId="2" fillId="0" borderId="1" xfId="1" applyNumberFormat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12"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Histograma de Frecuencias de Apps Descargadas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Hoja1!$R$1</c:f>
              <c:strCache>
                <c:ptCount val="1"/>
                <c:pt idx="0">
                  <c:v>FRECUENCIA ABSOLUTA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Hoja1!$O$2:$O$8</c:f>
              <c:numCache>
                <c:formatCode>General</c:formatCode>
                <c:ptCount val="7"/>
                <c:pt idx="0">
                  <c:v>30</c:v>
                </c:pt>
                <c:pt idx="1">
                  <c:v>45</c:v>
                </c:pt>
                <c:pt idx="2">
                  <c:v>60</c:v>
                </c:pt>
                <c:pt idx="3">
                  <c:v>75</c:v>
                </c:pt>
                <c:pt idx="4">
                  <c:v>90</c:v>
                </c:pt>
                <c:pt idx="5">
                  <c:v>105</c:v>
                </c:pt>
                <c:pt idx="6">
                  <c:v>120</c:v>
                </c:pt>
              </c:numCache>
            </c:numRef>
          </c:cat>
          <c:val>
            <c:numRef>
              <c:f>Hoja1!$R$2:$R$8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5-4C4B-9C00-33BCBA659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760180768"/>
        <c:axId val="1760187008"/>
      </c:barChart>
      <c:catAx>
        <c:axId val="1760180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000" b="0" i="0" u="none" strike="noStrike" baseline="0"/>
                  <a:t>Número de Apps Descargadas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0187008"/>
        <c:crosses val="autoZero"/>
        <c:auto val="1"/>
        <c:lblAlgn val="ctr"/>
        <c:lblOffset val="100"/>
        <c:noMultiLvlLbl val="0"/>
      </c:catAx>
      <c:valAx>
        <c:axId val="1760187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Absoluta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76018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0" cap="flat" cmpd="sng" algn="ctr">
      <a:solidFill>
        <a:schemeClr val="accent1">
          <a:alpha val="98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Polígono de Frecuencias de Apps Descargadas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Hoja1!$Q$2:$Q$8</c:f>
              <c:numCache>
                <c:formatCode>General</c:formatCode>
                <c:ptCount val="7"/>
                <c:pt idx="0">
                  <c:v>37</c:v>
                </c:pt>
                <c:pt idx="1">
                  <c:v>52</c:v>
                </c:pt>
                <c:pt idx="2">
                  <c:v>67</c:v>
                </c:pt>
                <c:pt idx="3">
                  <c:v>82</c:v>
                </c:pt>
                <c:pt idx="4">
                  <c:v>97</c:v>
                </c:pt>
                <c:pt idx="5">
                  <c:v>112</c:v>
                </c:pt>
                <c:pt idx="6">
                  <c:v>127</c:v>
                </c:pt>
              </c:numCache>
            </c:numRef>
          </c:cat>
          <c:val>
            <c:numRef>
              <c:f>Hoja1!$R$2:$R$8</c:f>
              <c:numCache>
                <c:formatCode>General</c:formatCode>
                <c:ptCount val="7"/>
                <c:pt idx="0">
                  <c:v>7</c:v>
                </c:pt>
                <c:pt idx="1">
                  <c:v>6</c:v>
                </c:pt>
                <c:pt idx="2">
                  <c:v>10</c:v>
                </c:pt>
                <c:pt idx="3">
                  <c:v>9</c:v>
                </c:pt>
                <c:pt idx="4">
                  <c:v>8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5-4017-8504-CD425BB51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3479104"/>
        <c:axId val="1943477024"/>
      </c:lineChart>
      <c:catAx>
        <c:axId val="1943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3477024"/>
        <c:crosses val="autoZero"/>
        <c:auto val="1"/>
        <c:lblAlgn val="ctr"/>
        <c:lblOffset val="100"/>
        <c:noMultiLvlLbl val="0"/>
      </c:catAx>
      <c:valAx>
        <c:axId val="1943477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Absoluta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43479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Ojiva de Frecuencias Acumuladas de Apps Descargadas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Hoja1!$Q$2:$Q$8</c:f>
              <c:numCache>
                <c:formatCode>General</c:formatCode>
                <c:ptCount val="7"/>
                <c:pt idx="0">
                  <c:v>37</c:v>
                </c:pt>
                <c:pt idx="1">
                  <c:v>52</c:v>
                </c:pt>
                <c:pt idx="2">
                  <c:v>67</c:v>
                </c:pt>
                <c:pt idx="3">
                  <c:v>82</c:v>
                </c:pt>
                <c:pt idx="4">
                  <c:v>97</c:v>
                </c:pt>
                <c:pt idx="5">
                  <c:v>112</c:v>
                </c:pt>
                <c:pt idx="6">
                  <c:v>127</c:v>
                </c:pt>
              </c:numCache>
            </c:numRef>
          </c:cat>
          <c:val>
            <c:numRef>
              <c:f>Hoja1!$T$2:$T$8</c:f>
              <c:numCache>
                <c:formatCode>General</c:formatCode>
                <c:ptCount val="7"/>
                <c:pt idx="0">
                  <c:v>7</c:v>
                </c:pt>
                <c:pt idx="1">
                  <c:v>13</c:v>
                </c:pt>
                <c:pt idx="2">
                  <c:v>23</c:v>
                </c:pt>
                <c:pt idx="3">
                  <c:v>32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E1-4E19-B78E-3040A2CE9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3672624"/>
        <c:axId val="7736759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Hoja1!$Q$2:$Q$8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37</c:v>
                      </c:pt>
                      <c:pt idx="1">
                        <c:v>52</c:v>
                      </c:pt>
                      <c:pt idx="2">
                        <c:v>67</c:v>
                      </c:pt>
                      <c:pt idx="3">
                        <c:v>82</c:v>
                      </c:pt>
                      <c:pt idx="4">
                        <c:v>97</c:v>
                      </c:pt>
                      <c:pt idx="5">
                        <c:v>112</c:v>
                      </c:pt>
                      <c:pt idx="6">
                        <c:v>127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Hoja1!$P$2:$P$8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44</c:v>
                      </c:pt>
                      <c:pt idx="1">
                        <c:v>59</c:v>
                      </c:pt>
                      <c:pt idx="2">
                        <c:v>74</c:v>
                      </c:pt>
                      <c:pt idx="3">
                        <c:v>89</c:v>
                      </c:pt>
                      <c:pt idx="4">
                        <c:v>104</c:v>
                      </c:pt>
                      <c:pt idx="5">
                        <c:v>119</c:v>
                      </c:pt>
                      <c:pt idx="6">
                        <c:v>134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9E1-4E19-B78E-3040A2CE9C52}"/>
                  </c:ext>
                </c:extLst>
              </c15:ser>
            </c15:filteredLineSeries>
          </c:ext>
        </c:extLst>
      </c:lineChart>
      <c:catAx>
        <c:axId val="77367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3675952"/>
        <c:crosses val="autoZero"/>
        <c:auto val="1"/>
        <c:lblAlgn val="ctr"/>
        <c:lblOffset val="100"/>
        <c:noMultiLvlLbl val="0"/>
      </c:catAx>
      <c:valAx>
        <c:axId val="77367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 Acumulada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3672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30480</xdr:colOff>
      <xdr:row>16</xdr:row>
      <xdr:rowOff>152400</xdr:rowOff>
    </xdr:from>
    <xdr:to>
      <xdr:col>9</xdr:col>
      <xdr:colOff>116151</xdr:colOff>
      <xdr:row>31</xdr:row>
      <xdr:rowOff>129540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19A89B-84C5-4D6A-A3A6-3D9F26098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1840" y="3078480"/>
          <a:ext cx="5015811" cy="2720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34</xdr:row>
      <xdr:rowOff>1</xdr:rowOff>
    </xdr:from>
    <xdr:to>
      <xdr:col>8</xdr:col>
      <xdr:colOff>1295400</xdr:colOff>
      <xdr:row>45</xdr:row>
      <xdr:rowOff>72561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507D13-F543-4CB8-A0CC-F6CDAB978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1360" y="6217921"/>
          <a:ext cx="4046220" cy="2084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1524000</xdr:colOff>
      <xdr:row>33</xdr:row>
      <xdr:rowOff>152400</xdr:rowOff>
    </xdr:from>
    <xdr:to>
      <xdr:col>10</xdr:col>
      <xdr:colOff>1310640</xdr:colOff>
      <xdr:row>45</xdr:row>
      <xdr:rowOff>73106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502BA45-EEFD-4A3B-BD29-791E0DDF5A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6180" y="6187440"/>
          <a:ext cx="3604260" cy="21152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16625</xdr:colOff>
      <xdr:row>22</xdr:row>
      <xdr:rowOff>140032</xdr:rowOff>
    </xdr:from>
    <xdr:to>
      <xdr:col>16</xdr:col>
      <xdr:colOff>1143594</xdr:colOff>
      <xdr:row>37</xdr:row>
      <xdr:rowOff>140033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D810DEE-9301-4695-86AE-44EBBFBDF7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1590869</xdr:colOff>
      <xdr:row>22</xdr:row>
      <xdr:rowOff>122076</xdr:rowOff>
    </xdr:from>
    <xdr:to>
      <xdr:col>19</xdr:col>
      <xdr:colOff>152400</xdr:colOff>
      <xdr:row>37</xdr:row>
      <xdr:rowOff>67647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5F4B7A0-093E-49FC-9009-184E315A7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607843</xdr:colOff>
      <xdr:row>22</xdr:row>
      <xdr:rowOff>129243</xdr:rowOff>
    </xdr:from>
    <xdr:to>
      <xdr:col>21</xdr:col>
      <xdr:colOff>770046</xdr:colOff>
      <xdr:row>37</xdr:row>
      <xdr:rowOff>73259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4A64AD9F-700B-4EA5-97CC-FCBC7CA771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FA03A2-0094-4B3A-8B8A-CE7E6CC650DE}" name="Tabla5" displayName="Tabla5" ref="G1:M8" totalsRowShown="0" headerRowDxfId="11" dataDxfId="9" headerRowBorderDxfId="10" tableBorderDxfId="8" totalsRowBorderDxfId="7">
  <tableColumns count="7">
    <tableColumn id="1" xr3:uid="{CB868C3C-CB4D-47BE-BBD6-80CF1FA6CB9D}" name="LÍMITE INFERIOR" dataDxfId="6"/>
    <tableColumn id="2" xr3:uid="{5FE44819-A247-41C3-B4B5-7204BE25A90B}" name="LÍMITE SUPERIOR" dataDxfId="5"/>
    <tableColumn id="3" xr3:uid="{C5CEEB19-F220-4356-9D5A-02C441AB03D8}" name="PUNTO MEDIO (MARCA DE CLASES)" dataDxfId="4"/>
    <tableColumn id="4" xr3:uid="{F0CF0820-7BA1-4A36-AF88-BA9A1374172B}" name="FRECUENCIA ABSOLUTA" dataDxfId="3"/>
    <tableColumn id="5" xr3:uid="{F1AB76B6-AB88-4309-B406-4B2AB432504F}" name="FRECUENCIA RELATIVA" dataDxfId="2"/>
    <tableColumn id="6" xr3:uid="{A01230CA-91F0-4676-AB20-24090C8DBA12}" name="FRECUENCIA ACOMULADA" dataDxfId="1"/>
    <tableColumn id="7" xr3:uid="{10F65B7F-EF8F-4E9E-B806-EF6A1E0B6943}" name="FRECUENCIA RELATIVA ACUMULADA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4FED-1C69-4D33-AC61-27D8B879B025}">
  <dimension ref="A1:U51"/>
  <sheetViews>
    <sheetView tabSelected="1" topLeftCell="H1" zoomScale="92" zoomScaleNormal="40" workbookViewId="0">
      <selection activeCell="Q21" sqref="Q21"/>
    </sheetView>
  </sheetViews>
  <sheetFormatPr baseColWidth="10" defaultRowHeight="14.4" x14ac:dyDescent="0.3"/>
  <cols>
    <col min="2" max="2" width="15.109375" customWidth="1"/>
    <col min="3" max="3" width="22.5546875" customWidth="1"/>
    <col min="4" max="4" width="18.33203125" customWidth="1"/>
    <col min="5" max="5" width="24" customWidth="1"/>
    <col min="7" max="7" width="20.21875" customWidth="1"/>
    <col min="8" max="8" width="19.88671875" customWidth="1"/>
    <col min="9" max="9" width="31.77734375" customWidth="1"/>
    <col min="10" max="10" width="23.88671875" customWidth="1"/>
    <col min="11" max="11" width="21.77734375" customWidth="1"/>
    <col min="12" max="12" width="28.21875" customWidth="1"/>
    <col min="13" max="13" width="33.44140625" customWidth="1"/>
    <col min="14" max="14" width="19.5546875" customWidth="1"/>
    <col min="15" max="15" width="28.88671875" customWidth="1"/>
    <col min="16" max="16" width="21.44140625" customWidth="1"/>
    <col min="17" max="17" width="32.44140625" customWidth="1"/>
    <col min="18" max="18" width="28.21875" customWidth="1"/>
    <col min="19" max="19" width="27" customWidth="1"/>
    <col min="20" max="20" width="30.21875" customWidth="1"/>
    <col min="21" max="21" width="34.109375" customWidth="1"/>
    <col min="22" max="22" width="11.5546875" customWidth="1"/>
    <col min="29" max="29" width="11.5546875" customWidth="1"/>
  </cols>
  <sheetData>
    <row r="1" spans="1:21" x14ac:dyDescent="0.3">
      <c r="A1" s="26" t="s">
        <v>0</v>
      </c>
      <c r="B1" s="26" t="s">
        <v>1</v>
      </c>
      <c r="C1" s="26" t="s">
        <v>2</v>
      </c>
      <c r="D1" s="26" t="s">
        <v>3</v>
      </c>
      <c r="E1" s="27" t="s">
        <v>4</v>
      </c>
      <c r="G1" s="6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8" t="s">
        <v>19</v>
      </c>
      <c r="O1" s="36" t="s">
        <v>13</v>
      </c>
      <c r="P1" s="36" t="s">
        <v>14</v>
      </c>
      <c r="Q1" s="36" t="s">
        <v>15</v>
      </c>
      <c r="R1" s="36" t="s">
        <v>16</v>
      </c>
      <c r="S1" s="36" t="s">
        <v>17</v>
      </c>
      <c r="T1" s="36" t="s">
        <v>31</v>
      </c>
      <c r="U1" s="36" t="s">
        <v>19</v>
      </c>
    </row>
    <row r="2" spans="1:21" x14ac:dyDescent="0.3">
      <c r="A2" s="28">
        <v>1</v>
      </c>
      <c r="B2" s="28" t="s">
        <v>10</v>
      </c>
      <c r="C2" s="28" t="s">
        <v>5</v>
      </c>
      <c r="D2" s="28">
        <v>75</v>
      </c>
      <c r="E2" s="29">
        <v>4.5</v>
      </c>
      <c r="G2" s="9">
        <v>2.5</v>
      </c>
      <c r="H2" s="10">
        <v>3.6</v>
      </c>
      <c r="I2" s="10">
        <v>3.05</v>
      </c>
      <c r="J2" s="10">
        <v>10</v>
      </c>
      <c r="K2" s="11">
        <v>0.2</v>
      </c>
      <c r="L2" s="10">
        <v>10</v>
      </c>
      <c r="M2" s="12">
        <v>0.2</v>
      </c>
      <c r="O2" s="30">
        <f>P13</f>
        <v>30</v>
      </c>
      <c r="P2" s="30">
        <f>O2+15-1</f>
        <v>44</v>
      </c>
      <c r="Q2" s="30">
        <f>(O2+P2)/2</f>
        <v>37</v>
      </c>
      <c r="R2" s="33">
        <f>COUNTIFS($D$2:$D$51,"&gt;="&amp;O2,$D$2:$D$51,"&lt;="&amp;P2)</f>
        <v>7</v>
      </c>
      <c r="S2" s="34">
        <f>R2/COUNT($D$2:$D$51)</f>
        <v>0.14000000000000001</v>
      </c>
      <c r="T2" s="33">
        <f>SUM($R$2:R2)</f>
        <v>7</v>
      </c>
      <c r="U2" s="35">
        <f>SUM($S$2:S2)</f>
        <v>0.14000000000000001</v>
      </c>
    </row>
    <row r="3" spans="1:21" x14ac:dyDescent="0.3">
      <c r="A3" s="5">
        <v>2</v>
      </c>
      <c r="B3" s="5" t="s">
        <v>6</v>
      </c>
      <c r="C3" s="5" t="s">
        <v>7</v>
      </c>
      <c r="D3" s="5">
        <v>30</v>
      </c>
      <c r="E3" s="4">
        <v>2.8</v>
      </c>
      <c r="G3" s="9">
        <v>3.6</v>
      </c>
      <c r="H3" s="10">
        <v>4.7</v>
      </c>
      <c r="I3" s="10">
        <v>4.1500000000000004</v>
      </c>
      <c r="J3" s="10">
        <v>8</v>
      </c>
      <c r="K3" s="11">
        <v>0.16</v>
      </c>
      <c r="L3" s="10">
        <v>18</v>
      </c>
      <c r="M3" s="12">
        <v>0.36</v>
      </c>
      <c r="O3" s="30">
        <f>O2+15</f>
        <v>45</v>
      </c>
      <c r="P3" s="30">
        <f t="shared" ref="P3:P8" si="0">O3+15-1</f>
        <v>59</v>
      </c>
      <c r="Q3" s="30">
        <f t="shared" ref="Q3:Q7" si="1">(O3+P3)/2</f>
        <v>52</v>
      </c>
      <c r="R3" s="33">
        <f t="shared" ref="R3:R8" si="2">COUNTIFS($D$2:$D$51,"&gt;="&amp;O3,$D$2:$D$51,"&lt;="&amp;P3)</f>
        <v>6</v>
      </c>
      <c r="S3" s="34">
        <f>R3/COUNT($D$2:$D$51)</f>
        <v>0.12</v>
      </c>
      <c r="T3" s="33">
        <f>SUM($R$2:R3)</f>
        <v>13</v>
      </c>
      <c r="U3" s="35">
        <f>SUM($S$2:S3)</f>
        <v>0.26</v>
      </c>
    </row>
    <row r="4" spans="1:21" x14ac:dyDescent="0.3">
      <c r="A4" s="28">
        <v>3</v>
      </c>
      <c r="B4" s="28" t="s">
        <v>8</v>
      </c>
      <c r="C4" s="28" t="s">
        <v>9</v>
      </c>
      <c r="D4" s="28">
        <v>120</v>
      </c>
      <c r="E4" s="29">
        <v>7.1</v>
      </c>
      <c r="G4" s="9">
        <v>4.7</v>
      </c>
      <c r="H4" s="10">
        <v>5.8</v>
      </c>
      <c r="I4" s="10">
        <v>5.25</v>
      </c>
      <c r="J4" s="10">
        <v>12</v>
      </c>
      <c r="K4" s="11">
        <v>0.24</v>
      </c>
      <c r="L4" s="10">
        <v>30</v>
      </c>
      <c r="M4" s="12">
        <v>0.6</v>
      </c>
      <c r="O4" s="30">
        <f>O3+15</f>
        <v>60</v>
      </c>
      <c r="P4" s="30">
        <f t="shared" si="0"/>
        <v>74</v>
      </c>
      <c r="Q4" s="30">
        <f t="shared" si="1"/>
        <v>67</v>
      </c>
      <c r="R4" s="33">
        <f>COUNTIFS($D$2:$D$51,"&gt;="&amp;O4,$D$2:$D$51,"&lt;="&amp;P4)</f>
        <v>10</v>
      </c>
      <c r="S4" s="34">
        <f t="shared" ref="S4:S9" si="3">R4/COUNT($D$2:$D$51)</f>
        <v>0.2</v>
      </c>
      <c r="T4" s="33">
        <f>SUM($R$2:R4)</f>
        <v>23</v>
      </c>
      <c r="U4" s="35">
        <f>SUM($S$2:S4)</f>
        <v>0.46</v>
      </c>
    </row>
    <row r="5" spans="1:21" x14ac:dyDescent="0.3">
      <c r="A5" s="5">
        <v>4</v>
      </c>
      <c r="B5" s="5" t="s">
        <v>10</v>
      </c>
      <c r="C5" s="5" t="s">
        <v>5</v>
      </c>
      <c r="D5" s="5">
        <v>60</v>
      </c>
      <c r="E5" s="4">
        <v>5</v>
      </c>
      <c r="G5" s="9">
        <v>5.8</v>
      </c>
      <c r="H5" s="10">
        <v>6.9</v>
      </c>
      <c r="I5" s="10">
        <v>6.35</v>
      </c>
      <c r="J5" s="10">
        <v>13</v>
      </c>
      <c r="K5" s="11">
        <v>0.26</v>
      </c>
      <c r="L5" s="10">
        <v>43</v>
      </c>
      <c r="M5" s="12">
        <v>0.86</v>
      </c>
      <c r="O5" s="30">
        <f t="shared" ref="O5:O8" si="4">O4+15</f>
        <v>75</v>
      </c>
      <c r="P5" s="30">
        <f t="shared" si="0"/>
        <v>89</v>
      </c>
      <c r="Q5" s="30">
        <f t="shared" si="1"/>
        <v>82</v>
      </c>
      <c r="R5" s="33">
        <f t="shared" si="2"/>
        <v>9</v>
      </c>
      <c r="S5" s="34">
        <f>R5/COUNT($D$2:$D$51)</f>
        <v>0.18</v>
      </c>
      <c r="T5" s="33">
        <f>SUM($R$2:R5)</f>
        <v>32</v>
      </c>
      <c r="U5" s="35">
        <f>SUM($S$2:S5)</f>
        <v>0.64</v>
      </c>
    </row>
    <row r="6" spans="1:21" x14ac:dyDescent="0.3">
      <c r="A6" s="28">
        <v>5</v>
      </c>
      <c r="B6" s="28" t="s">
        <v>11</v>
      </c>
      <c r="C6" s="28" t="s">
        <v>5</v>
      </c>
      <c r="D6" s="28">
        <v>85</v>
      </c>
      <c r="E6" s="29">
        <v>6.3</v>
      </c>
      <c r="G6" s="9">
        <v>6.9</v>
      </c>
      <c r="H6" s="10">
        <v>8</v>
      </c>
      <c r="I6" s="10">
        <v>7.45</v>
      </c>
      <c r="J6" s="10">
        <v>5</v>
      </c>
      <c r="K6" s="11">
        <v>0.1</v>
      </c>
      <c r="L6" s="10">
        <v>48</v>
      </c>
      <c r="M6" s="12">
        <v>0.96</v>
      </c>
      <c r="O6" s="30">
        <f t="shared" si="4"/>
        <v>90</v>
      </c>
      <c r="P6" s="30">
        <f t="shared" si="0"/>
        <v>104</v>
      </c>
      <c r="Q6" s="30">
        <f t="shared" si="1"/>
        <v>97</v>
      </c>
      <c r="R6" s="33">
        <f t="shared" si="2"/>
        <v>8</v>
      </c>
      <c r="S6" s="34">
        <f t="shared" si="3"/>
        <v>0.16</v>
      </c>
      <c r="T6" s="33">
        <f>SUM($R$2:R6)</f>
        <v>40</v>
      </c>
      <c r="U6" s="35">
        <f>SUM($S$2:S6)</f>
        <v>0.8</v>
      </c>
    </row>
    <row r="7" spans="1:21" x14ac:dyDescent="0.3">
      <c r="A7" s="5">
        <v>6</v>
      </c>
      <c r="B7" s="5" t="s">
        <v>12</v>
      </c>
      <c r="C7" s="5" t="s">
        <v>7</v>
      </c>
      <c r="D7" s="5">
        <v>45</v>
      </c>
      <c r="E7" s="4">
        <v>3.2</v>
      </c>
      <c r="G7" s="9">
        <v>8</v>
      </c>
      <c r="H7" s="10">
        <v>9.1</v>
      </c>
      <c r="I7" s="10">
        <v>8.5500000000000007</v>
      </c>
      <c r="J7" s="10">
        <v>2</v>
      </c>
      <c r="K7" s="11">
        <v>0.04</v>
      </c>
      <c r="L7" s="10">
        <v>50</v>
      </c>
      <c r="M7" s="12">
        <v>1</v>
      </c>
      <c r="O7" s="30">
        <f t="shared" si="4"/>
        <v>105</v>
      </c>
      <c r="P7" s="30">
        <f t="shared" si="0"/>
        <v>119</v>
      </c>
      <c r="Q7" s="30">
        <f t="shared" si="1"/>
        <v>112</v>
      </c>
      <c r="R7" s="33">
        <f t="shared" si="2"/>
        <v>5</v>
      </c>
      <c r="S7" s="34">
        <f t="shared" si="3"/>
        <v>0.1</v>
      </c>
      <c r="T7" s="33">
        <f>SUM($R$2:R7)</f>
        <v>45</v>
      </c>
      <c r="U7" s="35">
        <f>SUM($S$2:S7)</f>
        <v>0.9</v>
      </c>
    </row>
    <row r="8" spans="1:21" x14ac:dyDescent="0.3">
      <c r="A8" s="28">
        <v>7</v>
      </c>
      <c r="B8" s="28" t="s">
        <v>10</v>
      </c>
      <c r="C8" s="28" t="s">
        <v>5</v>
      </c>
      <c r="D8" s="28">
        <v>90</v>
      </c>
      <c r="E8" s="29">
        <v>5.8</v>
      </c>
      <c r="G8" s="13"/>
      <c r="H8" s="14"/>
      <c r="I8" s="14"/>
      <c r="J8" s="14">
        <v>50</v>
      </c>
      <c r="K8" s="15">
        <v>1</v>
      </c>
      <c r="L8" s="14"/>
      <c r="M8" s="16"/>
      <c r="O8" s="30">
        <f t="shared" si="4"/>
        <v>120</v>
      </c>
      <c r="P8" s="30">
        <f t="shared" si="0"/>
        <v>134</v>
      </c>
      <c r="Q8" s="30">
        <f>(O8+P8)/2</f>
        <v>127</v>
      </c>
      <c r="R8" s="33">
        <f t="shared" si="2"/>
        <v>5</v>
      </c>
      <c r="S8" s="34">
        <f t="shared" si="3"/>
        <v>0.1</v>
      </c>
      <c r="T8" s="33">
        <f>SUM($R$2:R8)</f>
        <v>50</v>
      </c>
      <c r="U8" s="35">
        <f>SUM($S$2:S8)</f>
        <v>1</v>
      </c>
    </row>
    <row r="9" spans="1:21" x14ac:dyDescent="0.3">
      <c r="A9" s="5">
        <v>8</v>
      </c>
      <c r="B9" s="5" t="s">
        <v>6</v>
      </c>
      <c r="C9" s="5" t="s">
        <v>5</v>
      </c>
      <c r="D9" s="5">
        <v>70</v>
      </c>
      <c r="E9" s="4">
        <v>4.0999999999999996</v>
      </c>
      <c r="O9" s="31" t="s">
        <v>30</v>
      </c>
      <c r="R9" s="37">
        <f>SUM(R2:R8)</f>
        <v>50</v>
      </c>
      <c r="S9" s="38">
        <f t="shared" si="3"/>
        <v>1</v>
      </c>
    </row>
    <row r="10" spans="1:21" x14ac:dyDescent="0.3">
      <c r="A10" s="28">
        <v>9</v>
      </c>
      <c r="B10" s="28" t="s">
        <v>8</v>
      </c>
      <c r="C10" s="28" t="s">
        <v>5</v>
      </c>
      <c r="D10" s="28">
        <v>100</v>
      </c>
      <c r="E10" s="29">
        <v>6.5</v>
      </c>
    </row>
    <row r="11" spans="1:21" x14ac:dyDescent="0.3">
      <c r="A11" s="5">
        <v>10</v>
      </c>
      <c r="B11" s="5" t="s">
        <v>10</v>
      </c>
      <c r="C11" s="5" t="s">
        <v>7</v>
      </c>
      <c r="D11" s="5">
        <v>50</v>
      </c>
      <c r="E11" s="4">
        <v>3.9</v>
      </c>
      <c r="G11" s="21" t="s">
        <v>20</v>
      </c>
      <c r="H11" s="18">
        <v>2.5</v>
      </c>
      <c r="I11" s="1"/>
    </row>
    <row r="12" spans="1:21" x14ac:dyDescent="0.3">
      <c r="A12" s="28">
        <v>11</v>
      </c>
      <c r="B12" s="28" t="s">
        <v>11</v>
      </c>
      <c r="C12" s="28" t="s">
        <v>9</v>
      </c>
      <c r="D12" s="28">
        <v>110</v>
      </c>
      <c r="E12" s="29">
        <v>7.8</v>
      </c>
      <c r="G12" s="21" t="s">
        <v>21</v>
      </c>
      <c r="H12" s="18">
        <v>8.6</v>
      </c>
      <c r="I12" s="1"/>
      <c r="O12" s="24" t="s">
        <v>26</v>
      </c>
      <c r="P12" s="22">
        <f>COUNT(Hoja1!$D$2:$D$51)</f>
        <v>50</v>
      </c>
    </row>
    <row r="13" spans="1:21" x14ac:dyDescent="0.3">
      <c r="A13" s="5">
        <v>12</v>
      </c>
      <c r="B13" s="5" t="s">
        <v>12</v>
      </c>
      <c r="C13" s="5" t="s">
        <v>5</v>
      </c>
      <c r="D13" s="5">
        <v>65</v>
      </c>
      <c r="E13" s="4">
        <v>4.9000000000000004</v>
      </c>
      <c r="G13" s="21" t="s">
        <v>22</v>
      </c>
      <c r="H13" s="18">
        <v>6.1</v>
      </c>
      <c r="I13" s="1"/>
      <c r="O13" s="24" t="s">
        <v>32</v>
      </c>
      <c r="P13" s="22">
        <f>MIN(Hoja1!$D$2:$D$51)</f>
        <v>30</v>
      </c>
    </row>
    <row r="14" spans="1:21" x14ac:dyDescent="0.3">
      <c r="A14" s="28">
        <v>13</v>
      </c>
      <c r="B14" s="28" t="s">
        <v>10</v>
      </c>
      <c r="C14" s="28" t="s">
        <v>5</v>
      </c>
      <c r="D14" s="28">
        <v>80</v>
      </c>
      <c r="E14" s="29">
        <v>5.3</v>
      </c>
      <c r="G14" s="21" t="s">
        <v>23</v>
      </c>
      <c r="H14" s="18">
        <v>6</v>
      </c>
      <c r="I14" s="17" t="s">
        <v>24</v>
      </c>
      <c r="O14" s="24" t="s">
        <v>33</v>
      </c>
      <c r="P14" s="22">
        <f>MAX(Hoja1!$D$2:$D$51)</f>
        <v>132</v>
      </c>
    </row>
    <row r="15" spans="1:21" x14ac:dyDescent="0.3">
      <c r="A15" s="5">
        <v>14</v>
      </c>
      <c r="B15" s="5" t="s">
        <v>6</v>
      </c>
      <c r="C15" s="5" t="s">
        <v>7</v>
      </c>
      <c r="D15" s="5">
        <v>35</v>
      </c>
      <c r="E15" s="4">
        <v>2.5</v>
      </c>
      <c r="G15" s="21" t="s">
        <v>25</v>
      </c>
      <c r="H15" s="19">
        <v>1.02</v>
      </c>
      <c r="I15" s="20">
        <v>1.1000000000000001</v>
      </c>
      <c r="O15" s="24" t="s">
        <v>22</v>
      </c>
      <c r="P15" s="22">
        <f>P14-P13</f>
        <v>102</v>
      </c>
    </row>
    <row r="16" spans="1:21" x14ac:dyDescent="0.3">
      <c r="A16" s="28">
        <v>15</v>
      </c>
      <c r="B16" s="28" t="s">
        <v>8</v>
      </c>
      <c r="C16" s="28" t="s">
        <v>5</v>
      </c>
      <c r="D16" s="28">
        <v>95</v>
      </c>
      <c r="E16" s="29">
        <v>6</v>
      </c>
      <c r="O16" s="24" t="s">
        <v>28</v>
      </c>
      <c r="P16" s="23">
        <f>P18</f>
        <v>6.6439783544042541</v>
      </c>
    </row>
    <row r="17" spans="1:16" x14ac:dyDescent="0.3">
      <c r="A17" s="5">
        <v>16</v>
      </c>
      <c r="B17" s="5" t="s">
        <v>10</v>
      </c>
      <c r="C17" s="5" t="s">
        <v>5</v>
      </c>
      <c r="D17" s="5">
        <v>70</v>
      </c>
      <c r="E17" s="4">
        <v>4.8</v>
      </c>
      <c r="O17" s="24" t="s">
        <v>25</v>
      </c>
      <c r="P17" s="25">
        <f>(MAX(Hoja1!$D$2:$D$51)-MIN(Hoja1!$D$2:$D$51))/ROUNDUP(1+3.322*LOG10(COUNT(Hoja1!$D$2:$D$51)),0)</f>
        <v>14.571428571428571</v>
      </c>
    </row>
    <row r="18" spans="1:16" x14ac:dyDescent="0.3">
      <c r="A18" s="28">
        <v>17</v>
      </c>
      <c r="B18" s="28" t="s">
        <v>11</v>
      </c>
      <c r="C18" s="28" t="s">
        <v>7</v>
      </c>
      <c r="D18" s="28">
        <v>40</v>
      </c>
      <c r="E18" s="29">
        <v>3</v>
      </c>
      <c r="O18" s="32" t="s">
        <v>27</v>
      </c>
      <c r="P18" s="25">
        <f>1+(3.322*LOG10(50))</f>
        <v>6.6439783544042541</v>
      </c>
    </row>
    <row r="19" spans="1:16" x14ac:dyDescent="0.3">
      <c r="A19" s="5">
        <v>18</v>
      </c>
      <c r="B19" s="5" t="s">
        <v>12</v>
      </c>
      <c r="C19" s="5" t="s">
        <v>9</v>
      </c>
      <c r="D19" s="5">
        <v>130</v>
      </c>
      <c r="E19" s="4">
        <v>8.5</v>
      </c>
    </row>
    <row r="20" spans="1:16" x14ac:dyDescent="0.3">
      <c r="A20" s="28">
        <v>19</v>
      </c>
      <c r="B20" s="28" t="s">
        <v>10</v>
      </c>
      <c r="C20" s="28" t="s">
        <v>5</v>
      </c>
      <c r="D20" s="28">
        <v>105</v>
      </c>
      <c r="E20" s="29">
        <v>6.7</v>
      </c>
      <c r="O20" s="32" t="s">
        <v>29</v>
      </c>
      <c r="P20" s="22">
        <f>ROUNDUP((MAX(Hoja1!$D$2:$D$51)-MIN(Hoja1!$D$2:$D$51))/ROUNDUP(1+3.322*LOG10(COUNT(Hoja1!$D$2:$D$51)),0),0)</f>
        <v>15</v>
      </c>
    </row>
    <row r="21" spans="1:16" x14ac:dyDescent="0.3">
      <c r="A21" s="5">
        <v>20</v>
      </c>
      <c r="B21" s="5" t="s">
        <v>6</v>
      </c>
      <c r="C21" s="5" t="s">
        <v>5</v>
      </c>
      <c r="D21" s="5">
        <v>80</v>
      </c>
      <c r="E21" s="4">
        <v>5.5</v>
      </c>
    </row>
    <row r="22" spans="1:16" x14ac:dyDescent="0.3">
      <c r="A22" s="28">
        <v>21</v>
      </c>
      <c r="B22" s="28" t="s">
        <v>10</v>
      </c>
      <c r="C22" s="28" t="s">
        <v>5</v>
      </c>
      <c r="D22" s="28">
        <v>72</v>
      </c>
      <c r="E22" s="29">
        <v>4.5999999999999996</v>
      </c>
    </row>
    <row r="23" spans="1:16" x14ac:dyDescent="0.3">
      <c r="A23" s="5">
        <v>22</v>
      </c>
      <c r="B23" s="5" t="s">
        <v>6</v>
      </c>
      <c r="C23" s="5" t="s">
        <v>7</v>
      </c>
      <c r="D23" s="5">
        <v>33</v>
      </c>
      <c r="E23" s="4">
        <v>2.9</v>
      </c>
    </row>
    <row r="24" spans="1:16" x14ac:dyDescent="0.3">
      <c r="A24" s="28">
        <v>23</v>
      </c>
      <c r="B24" s="28" t="s">
        <v>8</v>
      </c>
      <c r="C24" s="28" t="s">
        <v>9</v>
      </c>
      <c r="D24" s="28">
        <v>125</v>
      </c>
      <c r="E24" s="29">
        <v>7.3</v>
      </c>
    </row>
    <row r="25" spans="1:16" x14ac:dyDescent="0.3">
      <c r="A25" s="5">
        <v>24</v>
      </c>
      <c r="B25" s="5" t="s">
        <v>10</v>
      </c>
      <c r="C25" s="5" t="s">
        <v>5</v>
      </c>
      <c r="D25" s="5">
        <v>63</v>
      </c>
      <c r="E25" s="4">
        <v>5.0999999999999996</v>
      </c>
    </row>
    <row r="26" spans="1:16" x14ac:dyDescent="0.3">
      <c r="A26" s="28">
        <v>25</v>
      </c>
      <c r="B26" s="28" t="s">
        <v>11</v>
      </c>
      <c r="C26" s="28" t="s">
        <v>5</v>
      </c>
      <c r="D26" s="28">
        <v>88</v>
      </c>
      <c r="E26" s="29">
        <v>6.4</v>
      </c>
    </row>
    <row r="27" spans="1:16" x14ac:dyDescent="0.3">
      <c r="A27" s="5">
        <v>26</v>
      </c>
      <c r="B27" s="5" t="s">
        <v>12</v>
      </c>
      <c r="C27" s="5" t="s">
        <v>7</v>
      </c>
      <c r="D27" s="5">
        <v>48</v>
      </c>
      <c r="E27" s="4">
        <v>3.3</v>
      </c>
    </row>
    <row r="28" spans="1:16" x14ac:dyDescent="0.3">
      <c r="A28" s="28">
        <v>27</v>
      </c>
      <c r="B28" s="28" t="s">
        <v>10</v>
      </c>
      <c r="C28" s="28" t="s">
        <v>5</v>
      </c>
      <c r="D28" s="28">
        <v>92</v>
      </c>
      <c r="E28" s="29">
        <v>5.9</v>
      </c>
    </row>
    <row r="29" spans="1:16" x14ac:dyDescent="0.3">
      <c r="A29" s="5">
        <v>28</v>
      </c>
      <c r="B29" s="5" t="s">
        <v>6</v>
      </c>
      <c r="C29" s="5" t="s">
        <v>5</v>
      </c>
      <c r="D29" s="5">
        <v>73</v>
      </c>
      <c r="E29" s="4">
        <v>4.2</v>
      </c>
    </row>
    <row r="30" spans="1:16" x14ac:dyDescent="0.3">
      <c r="A30" s="28">
        <v>29</v>
      </c>
      <c r="B30" s="28" t="s">
        <v>8</v>
      </c>
      <c r="C30" s="28" t="s">
        <v>5</v>
      </c>
      <c r="D30" s="28">
        <v>103</v>
      </c>
      <c r="E30" s="29">
        <v>6.6</v>
      </c>
    </row>
    <row r="31" spans="1:16" x14ac:dyDescent="0.3">
      <c r="A31" s="5">
        <v>30</v>
      </c>
      <c r="B31" s="5" t="s">
        <v>10</v>
      </c>
      <c r="C31" s="5" t="s">
        <v>7</v>
      </c>
      <c r="D31" s="5">
        <v>52</v>
      </c>
      <c r="E31" s="4">
        <v>4</v>
      </c>
    </row>
    <row r="32" spans="1:16" x14ac:dyDescent="0.3">
      <c r="A32" s="28">
        <v>31</v>
      </c>
      <c r="B32" s="28" t="s">
        <v>11</v>
      </c>
      <c r="C32" s="28" t="s">
        <v>9</v>
      </c>
      <c r="D32" s="28">
        <v>112</v>
      </c>
      <c r="E32" s="29">
        <v>7.9</v>
      </c>
    </row>
    <row r="33" spans="1:5" x14ac:dyDescent="0.3">
      <c r="A33" s="5">
        <v>32</v>
      </c>
      <c r="B33" s="5" t="s">
        <v>12</v>
      </c>
      <c r="C33" s="5" t="s">
        <v>5</v>
      </c>
      <c r="D33" s="5">
        <v>68</v>
      </c>
      <c r="E33" s="4">
        <v>5</v>
      </c>
    </row>
    <row r="34" spans="1:5" x14ac:dyDescent="0.3">
      <c r="A34" s="28">
        <v>33</v>
      </c>
      <c r="B34" s="28" t="s">
        <v>10</v>
      </c>
      <c r="C34" s="28" t="s">
        <v>5</v>
      </c>
      <c r="D34" s="28">
        <v>82</v>
      </c>
      <c r="E34" s="29">
        <v>5.4</v>
      </c>
    </row>
    <row r="35" spans="1:5" x14ac:dyDescent="0.3">
      <c r="A35" s="5">
        <v>34</v>
      </c>
      <c r="B35" s="5" t="s">
        <v>6</v>
      </c>
      <c r="C35" s="5" t="s">
        <v>7</v>
      </c>
      <c r="D35" s="5">
        <v>38</v>
      </c>
      <c r="E35" s="4">
        <v>2.6</v>
      </c>
    </row>
    <row r="36" spans="1:5" x14ac:dyDescent="0.3">
      <c r="A36" s="28">
        <v>35</v>
      </c>
      <c r="B36" s="28" t="s">
        <v>8</v>
      </c>
      <c r="C36" s="28" t="s">
        <v>5</v>
      </c>
      <c r="D36" s="28">
        <v>98</v>
      </c>
      <c r="E36" s="29">
        <v>6.1</v>
      </c>
    </row>
    <row r="37" spans="1:5" x14ac:dyDescent="0.3">
      <c r="A37" s="5">
        <v>36</v>
      </c>
      <c r="B37" s="5" t="s">
        <v>10</v>
      </c>
      <c r="C37" s="5" t="s">
        <v>5</v>
      </c>
      <c r="D37" s="5">
        <v>71</v>
      </c>
      <c r="E37" s="4">
        <v>4.7</v>
      </c>
    </row>
    <row r="38" spans="1:5" x14ac:dyDescent="0.3">
      <c r="A38" s="28">
        <v>37</v>
      </c>
      <c r="B38" s="28" t="s">
        <v>11</v>
      </c>
      <c r="C38" s="28" t="s">
        <v>7</v>
      </c>
      <c r="D38" s="28">
        <v>42</v>
      </c>
      <c r="E38" s="29">
        <v>3.1</v>
      </c>
    </row>
    <row r="39" spans="1:5" x14ac:dyDescent="0.3">
      <c r="A39" s="5">
        <v>38</v>
      </c>
      <c r="B39" s="5" t="s">
        <v>12</v>
      </c>
      <c r="C39" s="5" t="s">
        <v>9</v>
      </c>
      <c r="D39" s="5">
        <v>132</v>
      </c>
      <c r="E39" s="4">
        <v>8.6</v>
      </c>
    </row>
    <row r="40" spans="1:5" x14ac:dyDescent="0.3">
      <c r="A40" s="28">
        <v>39</v>
      </c>
      <c r="B40" s="28" t="s">
        <v>10</v>
      </c>
      <c r="C40" s="28" t="s">
        <v>5</v>
      </c>
      <c r="D40" s="28">
        <v>107</v>
      </c>
      <c r="E40" s="29">
        <v>6.8</v>
      </c>
    </row>
    <row r="41" spans="1:5" x14ac:dyDescent="0.3">
      <c r="A41" s="5">
        <v>40</v>
      </c>
      <c r="B41" s="5" t="s">
        <v>6</v>
      </c>
      <c r="C41" s="5" t="s">
        <v>5</v>
      </c>
      <c r="D41" s="5">
        <v>83</v>
      </c>
      <c r="E41" s="4">
        <v>5.6</v>
      </c>
    </row>
    <row r="42" spans="1:5" x14ac:dyDescent="0.3">
      <c r="A42" s="28">
        <v>41</v>
      </c>
      <c r="B42" s="28" t="s">
        <v>10</v>
      </c>
      <c r="C42" s="28" t="s">
        <v>5</v>
      </c>
      <c r="D42" s="28">
        <v>78</v>
      </c>
      <c r="E42" s="29">
        <v>5</v>
      </c>
    </row>
    <row r="43" spans="1:5" x14ac:dyDescent="0.3">
      <c r="A43" s="5">
        <v>42</v>
      </c>
      <c r="B43" s="5" t="s">
        <v>6</v>
      </c>
      <c r="C43" s="5" t="s">
        <v>7</v>
      </c>
      <c r="D43" s="5">
        <v>36</v>
      </c>
      <c r="E43" s="4">
        <v>2.7</v>
      </c>
    </row>
    <row r="44" spans="1:5" x14ac:dyDescent="0.3">
      <c r="A44" s="28">
        <v>43</v>
      </c>
      <c r="B44" s="28" t="s">
        <v>8</v>
      </c>
      <c r="C44" s="28" t="s">
        <v>9</v>
      </c>
      <c r="D44" s="28">
        <v>128</v>
      </c>
      <c r="E44" s="29">
        <v>7.5</v>
      </c>
    </row>
    <row r="45" spans="1:5" x14ac:dyDescent="0.3">
      <c r="A45" s="5">
        <v>44</v>
      </c>
      <c r="B45" s="5" t="s">
        <v>10</v>
      </c>
      <c r="C45" s="5" t="s">
        <v>5</v>
      </c>
      <c r="D45" s="5">
        <v>65</v>
      </c>
      <c r="E45" s="4">
        <v>5.2</v>
      </c>
    </row>
    <row r="46" spans="1:5" x14ac:dyDescent="0.3">
      <c r="A46" s="28">
        <v>45</v>
      </c>
      <c r="B46" s="28" t="s">
        <v>11</v>
      </c>
      <c r="C46" s="28" t="s">
        <v>5</v>
      </c>
      <c r="D46" s="28">
        <v>90</v>
      </c>
      <c r="E46" s="29">
        <v>6.5</v>
      </c>
    </row>
    <row r="47" spans="1:5" x14ac:dyDescent="0.3">
      <c r="A47" s="5">
        <v>46</v>
      </c>
      <c r="B47" s="5" t="s">
        <v>12</v>
      </c>
      <c r="C47" s="5" t="s">
        <v>7</v>
      </c>
      <c r="D47" s="5">
        <v>47</v>
      </c>
      <c r="E47" s="4">
        <v>3.4</v>
      </c>
    </row>
    <row r="48" spans="1:5" x14ac:dyDescent="0.3">
      <c r="A48" s="28">
        <v>47</v>
      </c>
      <c r="B48" s="28" t="s">
        <v>10</v>
      </c>
      <c r="C48" s="28" t="s">
        <v>5</v>
      </c>
      <c r="D48" s="28">
        <v>95</v>
      </c>
      <c r="E48" s="29">
        <v>6</v>
      </c>
    </row>
    <row r="49" spans="1:5" x14ac:dyDescent="0.3">
      <c r="A49" s="5">
        <v>48</v>
      </c>
      <c r="B49" s="5" t="s">
        <v>6</v>
      </c>
      <c r="C49" s="5" t="s">
        <v>5</v>
      </c>
      <c r="D49" s="5">
        <v>75</v>
      </c>
      <c r="E49" s="4">
        <v>4.3</v>
      </c>
    </row>
    <row r="50" spans="1:5" x14ac:dyDescent="0.3">
      <c r="A50" s="28">
        <v>49</v>
      </c>
      <c r="B50" s="28" t="s">
        <v>8</v>
      </c>
      <c r="C50" s="28" t="s">
        <v>5</v>
      </c>
      <c r="D50" s="28">
        <v>105</v>
      </c>
      <c r="E50" s="29">
        <v>6.7</v>
      </c>
    </row>
    <row r="51" spans="1:5" x14ac:dyDescent="0.3">
      <c r="A51" s="3">
        <v>50</v>
      </c>
      <c r="B51" s="3" t="s">
        <v>10</v>
      </c>
      <c r="C51" s="3" t="s">
        <v>7</v>
      </c>
      <c r="D51" s="3">
        <v>55</v>
      </c>
      <c r="E51" s="2">
        <v>4.0999999999999996</v>
      </c>
    </row>
  </sheetData>
  <pageMargins left="0.7" right="0.7" top="0.75" bottom="0.75" header="0.3" footer="0.3"/>
  <pageSetup paperSize="9" orientation="portrait" r:id="rId1"/>
  <ignoredErrors>
    <ignoredError sqref="P17" formula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Jader</dc:creator>
  <cp:lastModifiedBy>Jader</cp:lastModifiedBy>
  <dcterms:created xsi:type="dcterms:W3CDTF">2026-06-13T05:04:13Z</dcterms:created>
  <dcterms:modified xsi:type="dcterms:W3CDTF">2026-06-14T20:45:44Z</dcterms:modified>
</cp:coreProperties>
</file>